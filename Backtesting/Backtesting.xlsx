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dd\Battery Optimization Project\Backtesting\"/>
    </mc:Choice>
  </mc:AlternateContent>
  <xr:revisionPtr revIDLastSave="0" documentId="13_ncr:1_{60861AA0-78EE-4482-820F-D18B704E959E}" xr6:coauthVersionLast="47" xr6:coauthVersionMax="47" xr10:uidLastSave="{00000000-0000-0000-0000-000000000000}"/>
  <bookViews>
    <workbookView xWindow="12696" yWindow="0" windowWidth="10440" windowHeight="12336" activeTab="1" xr2:uid="{49B3B980-852C-4707-B0A6-75FABB73E1E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2" l="1"/>
  <c r="G17" i="2"/>
  <c r="G18" i="2"/>
  <c r="G19" i="2"/>
  <c r="G20" i="2"/>
  <c r="G21" i="2"/>
  <c r="G22" i="2"/>
  <c r="G3" i="2"/>
  <c r="G4" i="2"/>
  <c r="G5" i="2"/>
  <c r="G6" i="2"/>
  <c r="G7" i="2"/>
  <c r="G8" i="2"/>
  <c r="G9" i="2"/>
  <c r="G12" i="2"/>
  <c r="G15" i="2"/>
  <c r="G14" i="2"/>
  <c r="G11" i="2"/>
  <c r="G10" i="2"/>
  <c r="G26" i="2" l="1"/>
</calcChain>
</file>

<file path=xl/sharedStrings.xml><?xml version="1.0" encoding="utf-8"?>
<sst xmlns="http://schemas.openxmlformats.org/spreadsheetml/2006/main" count="130" uniqueCount="60">
  <si>
    <t>Battery: Megapack_Houston_01  |  Date: 06/13/2026</t>
  </si>
  <si>
    <t>Hour   Action       Charge kW  Discharge kW    SoC kWh  Price $/MWh  Revenue $</t>
  </si>
  <si>
    <t>------------------------------------------------------------------------------</t>
  </si>
  <si>
    <t>1      hold               0.0           0.0     2000.0        25.41       0.00</t>
  </si>
  <si>
    <t>2      hold               0.0           0.0     2000.0        24.73       0.00</t>
  </si>
  <si>
    <t>3      hold               0.0           0.0     2000.0        23.60       0.00</t>
  </si>
  <si>
    <t>4      hold               0.0           0.0     2000.0        23.90       0.00</t>
  </si>
  <si>
    <t>5      hold               0.0           0.0     2000.0        23.34       0.00</t>
  </si>
  <si>
    <t>6      hold               0.0           0.0     2000.0        24.78       0.00</t>
  </si>
  <si>
    <t>7      hold               0.0           0.0     2000.0        22.54       0.00</t>
  </si>
  <si>
    <t>8      hold               0.0           0.0     2000.0        19.87       0.00</t>
  </si>
  <si>
    <t>9      hold               0.0           0.0     2000.0        15.65       0.00</t>
  </si>
  <si>
    <t>10     hold               0.0           0.0     2000.0        17.70       0.00</t>
  </si>
  <si>
    <t>11     hold               0.0           0.0     2000.0        21.56       0.00</t>
  </si>
  <si>
    <t>12     hold               0.0           0.0     2000.0        25.66       0.00</t>
  </si>
  <si>
    <t>13     hold               0.0           0.0     2000.0        41.17       0.00</t>
  </si>
  <si>
    <t>14     hold               0.0           0.0     2000.0        45.68       0.00</t>
  </si>
  <si>
    <t>15     hold               0.0           0.0     2000.0        38.82       0.00</t>
  </si>
  <si>
    <t>16     hold               0.0           0.0     2000.0        39.03       0.00</t>
  </si>
  <si>
    <t>17     hold               0.0           0.0     2000.0        36.49       0.00</t>
  </si>
  <si>
    <t>18     hold               0.0           0.0     2000.0        32.06       0.00</t>
  </si>
  <si>
    <t>19     hold               0.0           0.0     2000.0        30.98       0.00</t>
  </si>
  <si>
    <t>20     hold               0.0           0.0     2000.0        37.30       0.00</t>
  </si>
  <si>
    <t>21     hold               0.0           0.0     2000.0        38.48       0.00</t>
  </si>
  <si>
    <t>22     hold               0.0           0.0     2000.0        36.70       0.00</t>
  </si>
  <si>
    <t>23     hold               0.0           0.0     2000.0        35.29       0.00</t>
  </si>
  <si>
    <t>24     hold               0.0           0.0     2000.0        29.23       0.00</t>
  </si>
  <si>
    <t xml:space="preserve">                                                     Total Revenue        0.00</t>
  </si>
  <si>
    <t>delivery_date</t>
  </si>
  <si>
    <t>hour_ending</t>
  </si>
  <si>
    <t>repeated_hour_flag</t>
  </si>
  <si>
    <t>settlement_point</t>
  </si>
  <si>
    <t>settlement_point_price</t>
  </si>
  <si>
    <t>06/13/2026</t>
  </si>
  <si>
    <t>01:00</t>
  </si>
  <si>
    <t>N</t>
  </si>
  <si>
    <t>HB_HOUSTON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</si>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</sst>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8"/>
      <color theme="1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right" vertical="top"/>
    </xf>
    <xf numFmtId="4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0B581AE-E077-4805-81EB-6627B247E8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5030-38A1-4FFC-8757-30A33502E35E}">
  <dimension ref="A1:A29"/>
  <sheetViews>
    <sheetView workbookViewId="0">
      <selection activeCell="D9" sqref="D9"/>
    </sheetView>
  </sheetViews>
  <sheetFormatPr defaultRowHeight="14.4"/>
  <cols>
    <col min="1" max="1" width="63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</v>
      </c>
    </row>
    <row r="29" spans="1:1">
      <c r="A2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6AB1-9035-4A45-8D61-5C80BB9E8A92}">
  <dimension ref="A1:G26"/>
  <sheetViews>
    <sheetView tabSelected="1" zoomScale="92" workbookViewId="0">
      <selection activeCell="I16" sqref="I16"/>
    </sheetView>
  </sheetViews>
  <sheetFormatPr defaultRowHeight="14.4"/>
  <cols>
    <col min="1" max="1" width="9.109375" bestFit="1" customWidth="1"/>
    <col min="2" max="2" width="8.5546875" bestFit="1" customWidth="1"/>
    <col min="3" max="3" width="13" bestFit="1" customWidth="1"/>
    <col min="4" max="4" width="11.44140625" bestFit="1" customWidth="1"/>
    <col min="5" max="5" width="15.44140625" bestFit="1" customWidth="1"/>
  </cols>
  <sheetData>
    <row r="1" spans="1:7" ht="15" thickBo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7" ht="15" thickBot="1">
      <c r="A2" s="2" t="s">
        <v>33</v>
      </c>
      <c r="B2" s="2" t="s">
        <v>34</v>
      </c>
      <c r="C2" s="2" t="s">
        <v>35</v>
      </c>
      <c r="D2" s="2" t="s">
        <v>36</v>
      </c>
      <c r="E2" s="3">
        <v>25.41</v>
      </c>
    </row>
    <row r="3" spans="1:7" ht="15" thickBot="1">
      <c r="A3" s="2" t="s">
        <v>33</v>
      </c>
      <c r="B3" s="2" t="s">
        <v>37</v>
      </c>
      <c r="C3" s="2" t="s">
        <v>35</v>
      </c>
      <c r="D3" s="2" t="s">
        <v>36</v>
      </c>
      <c r="E3" s="3">
        <v>24.73</v>
      </c>
      <c r="F3">
        <v>0.81220000000000003</v>
      </c>
      <c r="G3">
        <f t="shared" ref="G3:G9" si="0">E3*F3*-1</f>
        <v>-20.085706000000002</v>
      </c>
    </row>
    <row r="4" spans="1:7" ht="15" thickBot="1">
      <c r="A4" s="2" t="s">
        <v>33</v>
      </c>
      <c r="B4" s="2" t="s">
        <v>38</v>
      </c>
      <c r="C4" s="2" t="s">
        <v>35</v>
      </c>
      <c r="D4" s="2" t="s">
        <v>36</v>
      </c>
      <c r="E4" s="3">
        <v>23.6</v>
      </c>
      <c r="F4">
        <v>10</v>
      </c>
      <c r="G4">
        <f t="shared" si="0"/>
        <v>-236</v>
      </c>
    </row>
    <row r="5" spans="1:7" ht="15" thickBot="1">
      <c r="A5" s="2" t="s">
        <v>33</v>
      </c>
      <c r="B5" s="2" t="s">
        <v>39</v>
      </c>
      <c r="C5" s="2" t="s">
        <v>35</v>
      </c>
      <c r="D5" s="2" t="s">
        <v>36</v>
      </c>
      <c r="E5" s="3">
        <v>23.9</v>
      </c>
      <c r="F5">
        <v>1</v>
      </c>
      <c r="G5">
        <f t="shared" si="0"/>
        <v>-23.9</v>
      </c>
    </row>
    <row r="6" spans="1:7" ht="15" thickBot="1">
      <c r="A6" s="2" t="s">
        <v>33</v>
      </c>
      <c r="B6" s="2" t="s">
        <v>40</v>
      </c>
      <c r="C6" s="2" t="s">
        <v>35</v>
      </c>
      <c r="D6" s="2" t="s">
        <v>36</v>
      </c>
      <c r="E6" s="3">
        <v>23.34</v>
      </c>
      <c r="F6">
        <v>10</v>
      </c>
      <c r="G6">
        <f t="shared" si="0"/>
        <v>-233.4</v>
      </c>
    </row>
    <row r="7" spans="1:7" ht="15" thickBot="1">
      <c r="A7" s="2" t="s">
        <v>33</v>
      </c>
      <c r="B7" s="2" t="s">
        <v>41</v>
      </c>
      <c r="C7" s="2" t="s">
        <v>35</v>
      </c>
      <c r="D7" s="2" t="s">
        <v>36</v>
      </c>
      <c r="E7" s="3">
        <v>24.78</v>
      </c>
      <c r="F7">
        <v>3</v>
      </c>
      <c r="G7">
        <f t="shared" si="0"/>
        <v>-74.34</v>
      </c>
    </row>
    <row r="8" spans="1:7" ht="15" thickBot="1">
      <c r="A8" s="2" t="s">
        <v>33</v>
      </c>
      <c r="B8" s="2" t="s">
        <v>42</v>
      </c>
      <c r="C8" s="2" t="s">
        <v>35</v>
      </c>
      <c r="D8" s="2" t="s">
        <v>36</v>
      </c>
      <c r="E8" s="3">
        <v>22.54</v>
      </c>
      <c r="F8">
        <v>10</v>
      </c>
      <c r="G8">
        <f t="shared" si="0"/>
        <v>-225.39999999999998</v>
      </c>
    </row>
    <row r="9" spans="1:7" ht="15" thickBot="1">
      <c r="A9" s="2" t="s">
        <v>33</v>
      </c>
      <c r="B9" s="2" t="s">
        <v>43</v>
      </c>
      <c r="C9" s="2" t="s">
        <v>35</v>
      </c>
      <c r="D9" s="2" t="s">
        <v>36</v>
      </c>
      <c r="E9" s="3">
        <v>19.87</v>
      </c>
      <c r="F9">
        <v>10</v>
      </c>
      <c r="G9">
        <f t="shared" si="0"/>
        <v>-198.70000000000002</v>
      </c>
    </row>
    <row r="10" spans="1:7" ht="15" thickBot="1">
      <c r="A10" s="2" t="s">
        <v>33</v>
      </c>
      <c r="B10" s="2" t="s">
        <v>44</v>
      </c>
      <c r="C10" s="2" t="s">
        <v>35</v>
      </c>
      <c r="D10" s="2" t="s">
        <v>36</v>
      </c>
      <c r="E10" s="3">
        <v>15.65</v>
      </c>
      <c r="F10">
        <v>10</v>
      </c>
      <c r="G10">
        <f>E10*F10*-1</f>
        <v>-156.5</v>
      </c>
    </row>
    <row r="11" spans="1:7" ht="15" thickBot="1">
      <c r="A11" s="2" t="s">
        <v>33</v>
      </c>
      <c r="B11" s="2" t="s">
        <v>45</v>
      </c>
      <c r="C11" s="2" t="s">
        <v>35</v>
      </c>
      <c r="D11" s="2" t="s">
        <v>36</v>
      </c>
      <c r="E11" s="3">
        <v>17.7</v>
      </c>
      <c r="F11">
        <v>10</v>
      </c>
      <c r="G11">
        <f>E11*F11*-1</f>
        <v>-177</v>
      </c>
    </row>
    <row r="12" spans="1:7" ht="15" thickBot="1">
      <c r="A12" s="2" t="s">
        <v>33</v>
      </c>
      <c r="B12" s="2" t="s">
        <v>46</v>
      </c>
      <c r="C12" s="2" t="s">
        <v>35</v>
      </c>
      <c r="D12" s="2" t="s">
        <v>36</v>
      </c>
      <c r="E12" s="3">
        <v>21.56</v>
      </c>
      <c r="F12">
        <v>10</v>
      </c>
      <c r="G12">
        <f>E12*F12*-1</f>
        <v>-215.6</v>
      </c>
    </row>
    <row r="13" spans="1:7" ht="15" thickBot="1">
      <c r="A13" s="2" t="s">
        <v>33</v>
      </c>
      <c r="B13" s="2" t="s">
        <v>47</v>
      </c>
      <c r="C13" s="2" t="s">
        <v>35</v>
      </c>
      <c r="D13" s="2" t="s">
        <v>36</v>
      </c>
      <c r="E13" s="3">
        <v>25.66</v>
      </c>
    </row>
    <row r="14" spans="1:7" ht="15" thickBot="1">
      <c r="A14" s="2" t="s">
        <v>33</v>
      </c>
      <c r="B14" s="2" t="s">
        <v>48</v>
      </c>
      <c r="C14" s="2" t="s">
        <v>35</v>
      </c>
      <c r="D14" s="2" t="s">
        <v>36</v>
      </c>
      <c r="E14" s="3">
        <v>41.17</v>
      </c>
      <c r="F14">
        <v>10</v>
      </c>
      <c r="G14">
        <f>E14*F14</f>
        <v>411.70000000000005</v>
      </c>
    </row>
    <row r="15" spans="1:7" ht="15" thickBot="1">
      <c r="A15" s="2" t="s">
        <v>33</v>
      </c>
      <c r="B15" s="2" t="s">
        <v>49</v>
      </c>
      <c r="C15" s="2" t="s">
        <v>35</v>
      </c>
      <c r="D15" s="2" t="s">
        <v>36</v>
      </c>
      <c r="E15" s="3">
        <v>45.68</v>
      </c>
      <c r="F15">
        <v>10</v>
      </c>
      <c r="G15">
        <f>E15*F15</f>
        <v>456.8</v>
      </c>
    </row>
    <row r="16" spans="1:7" ht="15" thickBot="1">
      <c r="A16" s="2" t="s">
        <v>33</v>
      </c>
      <c r="B16" s="2" t="s">
        <v>50</v>
      </c>
      <c r="C16" s="2" t="s">
        <v>35</v>
      </c>
      <c r="D16" s="2" t="s">
        <v>36</v>
      </c>
      <c r="E16" s="3">
        <v>38.82</v>
      </c>
      <c r="F16">
        <v>10</v>
      </c>
      <c r="G16">
        <f t="shared" ref="G16:G22" si="1">E16*F16</f>
        <v>388.2</v>
      </c>
    </row>
    <row r="17" spans="1:7" ht="15" thickBot="1">
      <c r="A17" s="2" t="s">
        <v>33</v>
      </c>
      <c r="B17" s="2" t="s">
        <v>51</v>
      </c>
      <c r="C17" s="2" t="s">
        <v>35</v>
      </c>
      <c r="D17" s="2" t="s">
        <v>36</v>
      </c>
      <c r="E17" s="3">
        <v>39.03</v>
      </c>
      <c r="F17">
        <v>10</v>
      </c>
      <c r="G17">
        <f t="shared" si="1"/>
        <v>390.3</v>
      </c>
    </row>
    <row r="18" spans="1:7" ht="15" thickBot="1">
      <c r="A18" s="2" t="s">
        <v>33</v>
      </c>
      <c r="B18" s="2" t="s">
        <v>52</v>
      </c>
      <c r="C18" s="2" t="s">
        <v>35</v>
      </c>
      <c r="D18" s="2" t="s">
        <v>36</v>
      </c>
      <c r="E18" s="3">
        <v>36.49</v>
      </c>
      <c r="F18">
        <v>10</v>
      </c>
      <c r="G18">
        <f t="shared" si="1"/>
        <v>364.90000000000003</v>
      </c>
    </row>
    <row r="19" spans="1:7" ht="15" thickBot="1">
      <c r="A19" s="2" t="s">
        <v>33</v>
      </c>
      <c r="B19" s="2" t="s">
        <v>53</v>
      </c>
      <c r="C19" s="2" t="s">
        <v>35</v>
      </c>
      <c r="D19" s="2" t="s">
        <v>36</v>
      </c>
      <c r="E19" s="3">
        <v>32.06</v>
      </c>
      <c r="F19">
        <v>10</v>
      </c>
      <c r="G19">
        <f t="shared" si="1"/>
        <v>320.60000000000002</v>
      </c>
    </row>
    <row r="20" spans="1:7" ht="15" thickBot="1">
      <c r="A20" s="2" t="s">
        <v>33</v>
      </c>
      <c r="B20" s="2" t="s">
        <v>54</v>
      </c>
      <c r="C20" s="2" t="s">
        <v>35</v>
      </c>
      <c r="D20" s="2" t="s">
        <v>36</v>
      </c>
      <c r="E20" s="3">
        <v>30.98</v>
      </c>
      <c r="F20">
        <v>10</v>
      </c>
      <c r="G20">
        <f t="shared" si="1"/>
        <v>309.8</v>
      </c>
    </row>
    <row r="21" spans="1:7" ht="15" thickBot="1">
      <c r="A21" s="2" t="s">
        <v>33</v>
      </c>
      <c r="B21" s="2" t="s">
        <v>55</v>
      </c>
      <c r="C21" s="2" t="s">
        <v>35</v>
      </c>
      <c r="D21" s="2" t="s">
        <v>36</v>
      </c>
      <c r="E21" s="3">
        <v>37.299999999999997</v>
      </c>
      <c r="F21">
        <v>10</v>
      </c>
      <c r="G21">
        <f t="shared" si="1"/>
        <v>373</v>
      </c>
    </row>
    <row r="22" spans="1:7" ht="15" thickBot="1">
      <c r="A22" s="2" t="s">
        <v>33</v>
      </c>
      <c r="B22" s="2" t="s">
        <v>56</v>
      </c>
      <c r="C22" s="2" t="s">
        <v>35</v>
      </c>
      <c r="D22" s="2" t="s">
        <v>36</v>
      </c>
      <c r="E22" s="3">
        <v>38.479999999999997</v>
      </c>
      <c r="F22">
        <v>10</v>
      </c>
      <c r="G22">
        <f t="shared" si="1"/>
        <v>384.79999999999995</v>
      </c>
    </row>
    <row r="23" spans="1:7" ht="15" thickBot="1">
      <c r="A23" s="2" t="s">
        <v>33</v>
      </c>
      <c r="B23" s="2" t="s">
        <v>57</v>
      </c>
      <c r="C23" s="2" t="s">
        <v>35</v>
      </c>
      <c r="D23" s="2" t="s">
        <v>36</v>
      </c>
      <c r="E23" s="3">
        <v>36.700000000000003</v>
      </c>
    </row>
    <row r="24" spans="1:7" ht="15" thickBot="1">
      <c r="A24" s="2" t="s">
        <v>33</v>
      </c>
      <c r="B24" s="2" t="s">
        <v>58</v>
      </c>
      <c r="C24" s="2" t="s">
        <v>35</v>
      </c>
      <c r="D24" s="2" t="s">
        <v>36</v>
      </c>
      <c r="E24" s="3">
        <v>35.29</v>
      </c>
    </row>
    <row r="25" spans="1:7" ht="15" thickBot="1">
      <c r="A25" s="2" t="s">
        <v>33</v>
      </c>
      <c r="B25" s="2" t="s">
        <v>59</v>
      </c>
      <c r="C25" s="2" t="s">
        <v>35</v>
      </c>
      <c r="D25" s="2" t="s">
        <v>36</v>
      </c>
      <c r="E25" s="3">
        <v>29.23</v>
      </c>
    </row>
    <row r="26" spans="1:7">
      <c r="G26">
        <f>SUM(G3:G22)</f>
        <v>1839.1742939999999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 Mannepalli</dc:creator>
  <cp:lastModifiedBy>Sidd Mannepalli</cp:lastModifiedBy>
  <dcterms:created xsi:type="dcterms:W3CDTF">2026-06-20T23:38:40Z</dcterms:created>
  <dcterms:modified xsi:type="dcterms:W3CDTF">2026-06-30T15:43:38Z</dcterms:modified>
</cp:coreProperties>
</file>